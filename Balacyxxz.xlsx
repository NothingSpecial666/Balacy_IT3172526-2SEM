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zel Kim\Downloads\"/>
    </mc:Choice>
  </mc:AlternateContent>
  <bookViews>
    <workbookView xWindow="0" yWindow="0" windowWidth="28800" windowHeight="12210" tabRatio="500"/>
  </bookViews>
  <sheets>
    <sheet name="Prioritization Score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2" i="1" l="1"/>
  <c r="F32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3" i="1"/>
  <c r="F33" i="1" s="1"/>
  <c r="E34" i="1"/>
  <c r="F34" i="1" s="1"/>
  <c r="E35" i="1"/>
  <c r="F35" i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</calcChain>
</file>

<file path=xl/sharedStrings.xml><?xml version="1.0" encoding="utf-8"?>
<sst xmlns="http://schemas.openxmlformats.org/spreadsheetml/2006/main" count="51" uniqueCount="49">
  <si>
    <t>IT317 - G01</t>
  </si>
  <si>
    <t>Module</t>
  </si>
  <si>
    <t>Task</t>
  </si>
  <si>
    <t>Prioritization Score</t>
  </si>
  <si>
    <t>Priority</t>
  </si>
  <si>
    <t>is MVP</t>
  </si>
  <si>
    <t>User Authentication</t>
  </si>
  <si>
    <t>Login</t>
  </si>
  <si>
    <t>System</t>
  </si>
  <si>
    <t>Register</t>
  </si>
  <si>
    <t>OTP Verification</t>
  </si>
  <si>
    <t>Balacy. Hazel Kim C.</t>
  </si>
  <si>
    <t>Logout</t>
  </si>
  <si>
    <t>View List</t>
  </si>
  <si>
    <t>Categories</t>
  </si>
  <si>
    <t>Search bar</t>
  </si>
  <si>
    <t>Filter</t>
  </si>
  <si>
    <t>View Details</t>
  </si>
  <si>
    <t>Map Navigation</t>
  </si>
  <si>
    <t>Location</t>
  </si>
  <si>
    <t>Detect User Location</t>
  </si>
  <si>
    <t>Show Nearby Navigation</t>
  </si>
  <si>
    <t>Distance Indicator</t>
  </si>
  <si>
    <t>Add New Place</t>
  </si>
  <si>
    <t>Edit Place</t>
  </si>
  <si>
    <t>Delete Place</t>
  </si>
  <si>
    <t>Verify Submitted Content</t>
  </si>
  <si>
    <t>List of Trending food Establistments</t>
  </si>
  <si>
    <t>Search Bar</t>
  </si>
  <si>
    <t>Map Location</t>
  </si>
  <si>
    <t>User Ratings</t>
  </si>
  <si>
    <t>User Reviews</t>
  </si>
  <si>
    <t>Save Bookmarks Places</t>
  </si>
  <si>
    <t>Darkmode</t>
  </si>
  <si>
    <t>Share to Social Media</t>
  </si>
  <si>
    <t>Profile Picture Upload</t>
  </si>
  <si>
    <t>Trending this week</t>
  </si>
  <si>
    <t>Hotel Booking</t>
  </si>
  <si>
    <t>Online Payment</t>
  </si>
  <si>
    <t>Partnership Contracts</t>
  </si>
  <si>
    <t>Transportation Booking</t>
  </si>
  <si>
    <t>E-Commerence</t>
  </si>
  <si>
    <t>Location Based Recommendation</t>
  </si>
  <si>
    <t>Admin Dashboard</t>
  </si>
  <si>
    <t>Tourist Spots</t>
  </si>
  <si>
    <t>Viral Food Finder</t>
  </si>
  <si>
    <t>Basic Analyics Dashboard</t>
  </si>
  <si>
    <t>User Feature</t>
  </si>
  <si>
    <t>UI/UX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</si>
</sst>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rgb="FF000000"/>
      <name val="Calibri"/>
      <family val="2"/>
      <charset val="1"/>
    </font>
    <font>
      <sz val="11"/>
      <color rgb="FF000000"/>
      <name val="Century"/>
      <family val="1"/>
    </font>
    <font>
      <b/>
      <sz val="11"/>
      <color rgb="FFFFFFFF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"/>
      <family val="1"/>
    </font>
    <font>
      <sz val="11"/>
      <name val="Century Gothic"/>
      <family val="2"/>
    </font>
    <font>
      <sz val="11"/>
      <color rgb="FF000000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D0D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0D0D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4" fillId="0" borderId="0" xfId="0" applyFont="1"/>
    <xf numFmtId="15" fontId="4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5" fillId="3" borderId="0" xfId="0" applyFont="1" applyFill="1"/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164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0" xfId="0" applyNumberFormat="1" applyFont="1" applyFill="1"/>
  </cellXfs>
  <cellStyles count="1">
    <cellStyle name="Normal" xfId="0" builtinId="0"/>
  </cellStyles>
  <dxfs count="14"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numFmt numFmtId="0" formatCode="General"/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numFmt numFmtId="164" formatCode="0.0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scheme val="none"/>
      </font>
      <fill>
        <patternFill patternType="solid">
          <fgColor rgb="FF008080"/>
          <bgColor rgb="FF0066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6:F42" totalsRowShown="0" headerRowDxfId="13" dataDxfId="0" headerRowBorderDxfId="12" tableBorderDxfId="11">
  <sortState ref="B7:G97">
    <sortCondition descending="1" ref="D6:D97"/>
  </sortState>
  <tableColumns count="5">
    <tableColumn id="1" name="Module" dataDxfId="5" totalsRowDxfId="10"/>
    <tableColumn id="2" name="Task" dataDxfId="4" totalsRowDxfId="9"/>
    <tableColumn id="3" name="Prioritization Score" dataDxfId="3" totalsRowDxfId="8"/>
    <tableColumn id="4" name="Priority" dataDxfId="2" totalsRowDxfId="7">
      <calculatedColumnFormula>IF(D7&gt;=12,"High",IF(D7&gt;=8,"Medium","Low"))</calculatedColumnFormula>
    </tableColumn>
    <tableColumn id="5" name="is MVP" dataDxfId="1" totalsRowDxfId="6">
      <calculatedColumnFormula>IF(Table1[[#This Row],[Priority]]="High","Yes","No")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2"/>
  <sheetViews>
    <sheetView showGridLines="0" tabSelected="1" zoomScale="85" zoomScaleNormal="85" workbookViewId="0">
      <selection activeCell="C44" sqref="C44"/>
    </sheetView>
  </sheetViews>
  <sheetFormatPr defaultColWidth="8.7109375" defaultRowHeight="14.25" x14ac:dyDescent="0.2"/>
  <cols>
    <col min="1" max="1" width="6.140625" style="1" customWidth="1"/>
    <col min="2" max="2" width="38.28515625" style="1" customWidth="1"/>
    <col min="3" max="3" width="42.7109375" style="1" customWidth="1"/>
    <col min="4" max="4" width="20.85546875" style="1" customWidth="1"/>
    <col min="5" max="6" width="15.42578125" style="1" customWidth="1"/>
    <col min="7" max="8" width="8.7109375" style="1"/>
    <col min="9" max="9" width="21.42578125" style="1" customWidth="1"/>
    <col min="10" max="10" width="35.85546875" style="1" customWidth="1"/>
    <col min="11" max="11" width="16.140625" style="1" customWidth="1"/>
    <col min="12" max="12" width="12.7109375" style="1" customWidth="1"/>
    <col min="13" max="13" width="10" style="1" customWidth="1"/>
    <col min="14" max="16384" width="8.7109375" style="1"/>
  </cols>
  <sheetData>
    <row r="1" spans="2:12" ht="19.899999999999999" customHeight="1" x14ac:dyDescent="0.2"/>
    <row r="2" spans="2:12" x14ac:dyDescent="0.2">
      <c r="B2" s="2"/>
    </row>
    <row r="3" spans="2:12" x14ac:dyDescent="0.2">
      <c r="B3" s="2" t="s">
        <v>11</v>
      </c>
      <c r="F3" s="2"/>
      <c r="K3" s="2"/>
      <c r="L3" s="3"/>
    </row>
    <row r="4" spans="2:12" x14ac:dyDescent="0.2">
      <c r="B4" s="2" t="s">
        <v>0</v>
      </c>
    </row>
    <row r="6" spans="2:12" x14ac:dyDescent="0.2"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2:12" ht="16.5" x14ac:dyDescent="0.2">
      <c r="B7" s="8"/>
      <c r="C7" s="8" t="s">
        <v>9</v>
      </c>
      <c r="D7" s="6">
        <v>17.5</v>
      </c>
      <c r="E7" s="9" t="str">
        <f t="shared" ref="E7:E39" si="0">IF(D7&gt;=12,"High",IF(D7&gt;=8,"Medium","Low"))</f>
        <v>High</v>
      </c>
      <c r="F7" s="10" t="str">
        <f>IF(Table1[[#This Row],[Priority]]="High","Yes","No")</f>
        <v>Yes</v>
      </c>
    </row>
    <row r="8" spans="2:12" ht="16.5" x14ac:dyDescent="0.3">
      <c r="B8" s="11"/>
      <c r="C8" s="11" t="s">
        <v>7</v>
      </c>
      <c r="D8" s="6">
        <v>17</v>
      </c>
      <c r="E8" s="9" t="str">
        <f t="shared" si="0"/>
        <v>High</v>
      </c>
      <c r="F8" s="11" t="str">
        <f>IF(Table1[[#This Row],[Priority]]="High","Yes","No")</f>
        <v>Yes</v>
      </c>
    </row>
    <row r="9" spans="2:12" ht="16.5" x14ac:dyDescent="0.3">
      <c r="B9" s="12" t="s">
        <v>6</v>
      </c>
      <c r="C9" s="13" t="s">
        <v>10</v>
      </c>
      <c r="D9" s="14">
        <v>12.5</v>
      </c>
      <c r="E9" s="15" t="str">
        <f t="shared" si="0"/>
        <v>High</v>
      </c>
      <c r="F9" s="16" t="str">
        <f>IF(Table1[[#This Row],[Priority]]="High","Yes","No")</f>
        <v>Yes</v>
      </c>
    </row>
    <row r="10" spans="2:12" ht="16.5" x14ac:dyDescent="0.3">
      <c r="B10" s="5"/>
      <c r="C10" s="5" t="s">
        <v>12</v>
      </c>
      <c r="D10" s="6">
        <v>11</v>
      </c>
      <c r="E10" s="7" t="str">
        <f t="shared" si="0"/>
        <v>Medium</v>
      </c>
      <c r="F10" s="5" t="str">
        <f>IF(Table1[[#This Row],[Priority]]="High","Yes","No")</f>
        <v>No</v>
      </c>
    </row>
    <row r="11" spans="2:12" ht="16.5" x14ac:dyDescent="0.3">
      <c r="B11" s="18"/>
      <c r="C11" s="18" t="s">
        <v>13</v>
      </c>
      <c r="D11" s="14">
        <v>10</v>
      </c>
      <c r="E11" s="19" t="str">
        <f t="shared" si="0"/>
        <v>Medium</v>
      </c>
      <c r="F11" s="18" t="str">
        <f>IF(Table1[[#This Row],[Priority]]="High","Yes","No")</f>
        <v>No</v>
      </c>
    </row>
    <row r="12" spans="2:12" ht="16.5" x14ac:dyDescent="0.3">
      <c r="B12" s="5"/>
      <c r="C12" s="5" t="s">
        <v>14</v>
      </c>
      <c r="D12" s="6">
        <v>-5.5</v>
      </c>
      <c r="E12" s="7" t="str">
        <f t="shared" si="0"/>
        <v>Low</v>
      </c>
      <c r="F12" s="5" t="str">
        <f>IF(Table1[[#This Row],[Priority]]="High","Yes","No")</f>
        <v>No</v>
      </c>
    </row>
    <row r="13" spans="2:12" ht="16.5" x14ac:dyDescent="0.3">
      <c r="B13" s="17" t="s">
        <v>44</v>
      </c>
      <c r="C13" s="18" t="s">
        <v>15</v>
      </c>
      <c r="D13" s="14">
        <v>3</v>
      </c>
      <c r="E13" s="19" t="str">
        <f t="shared" si="0"/>
        <v>Low</v>
      </c>
      <c r="F13" s="18" t="str">
        <f>IF(Table1[[#This Row],[Priority]]="High","Yes","No")</f>
        <v>No</v>
      </c>
    </row>
    <row r="14" spans="2:12" ht="16.5" x14ac:dyDescent="0.3">
      <c r="B14" s="11"/>
      <c r="C14" s="11" t="s">
        <v>16</v>
      </c>
      <c r="D14" s="6">
        <v>1.5</v>
      </c>
      <c r="E14" s="9" t="str">
        <f t="shared" si="0"/>
        <v>Low</v>
      </c>
      <c r="F14" s="11" t="str">
        <f>IF(Table1[[#This Row],[Priority]]="High","Yes","No")</f>
        <v>No</v>
      </c>
    </row>
    <row r="15" spans="2:12" ht="16.5" x14ac:dyDescent="0.3">
      <c r="B15" s="18"/>
      <c r="C15" s="18" t="s">
        <v>17</v>
      </c>
      <c r="D15" s="14">
        <v>1.5</v>
      </c>
      <c r="E15" s="19" t="str">
        <f t="shared" si="0"/>
        <v>Low</v>
      </c>
      <c r="F15" s="18" t="str">
        <f>IF(Table1[[#This Row],[Priority]]="High","Yes","No")</f>
        <v>No</v>
      </c>
    </row>
    <row r="16" spans="2:12" ht="16.5" x14ac:dyDescent="0.3">
      <c r="B16" s="5"/>
      <c r="C16" s="5" t="s">
        <v>18</v>
      </c>
      <c r="D16" s="6">
        <v>12.5</v>
      </c>
      <c r="E16" s="7" t="str">
        <f t="shared" si="0"/>
        <v>High</v>
      </c>
      <c r="F16" s="5" t="str">
        <f>IF(Table1[[#This Row],[Priority]]="High","Yes","No")</f>
        <v>Yes</v>
      </c>
    </row>
    <row r="17" spans="2:6" ht="16.5" x14ac:dyDescent="0.3">
      <c r="B17" s="18"/>
      <c r="C17" s="18" t="s">
        <v>19</v>
      </c>
      <c r="D17" s="14">
        <v>12</v>
      </c>
      <c r="E17" s="19" t="str">
        <f t="shared" si="0"/>
        <v>High</v>
      </c>
      <c r="F17" s="18" t="str">
        <f>IF(Table1[[#This Row],[Priority]]="High","Yes","No")</f>
        <v>Yes</v>
      </c>
    </row>
    <row r="18" spans="2:6" ht="16.5" x14ac:dyDescent="0.3">
      <c r="B18" s="5"/>
      <c r="C18" s="5" t="s">
        <v>20</v>
      </c>
      <c r="D18" s="6">
        <v>13.5</v>
      </c>
      <c r="E18" s="7" t="str">
        <f t="shared" si="0"/>
        <v>High</v>
      </c>
      <c r="F18" s="5" t="str">
        <f>IF(Table1[[#This Row],[Priority]]="High","Yes","No")</f>
        <v>Yes</v>
      </c>
    </row>
    <row r="19" spans="2:6" ht="16.5" x14ac:dyDescent="0.3">
      <c r="B19" s="17" t="s">
        <v>42</v>
      </c>
      <c r="C19" s="18" t="s">
        <v>21</v>
      </c>
      <c r="D19" s="14">
        <v>14</v>
      </c>
      <c r="E19" s="19" t="str">
        <f t="shared" si="0"/>
        <v>High</v>
      </c>
      <c r="F19" s="18" t="str">
        <f>IF(Table1[[#This Row],[Priority]]="High","Yes","No")</f>
        <v>Yes</v>
      </c>
    </row>
    <row r="20" spans="2:6" ht="16.5" x14ac:dyDescent="0.3">
      <c r="B20" s="11"/>
      <c r="C20" s="11" t="s">
        <v>22</v>
      </c>
      <c r="D20" s="6">
        <v>10</v>
      </c>
      <c r="E20" s="9" t="str">
        <f t="shared" si="0"/>
        <v>Medium</v>
      </c>
      <c r="F20" s="11" t="str">
        <f>IF(Table1[[#This Row],[Priority]]="High","Yes","No")</f>
        <v>No</v>
      </c>
    </row>
    <row r="21" spans="2:6" ht="16.5" x14ac:dyDescent="0.3">
      <c r="B21" s="18"/>
      <c r="C21" s="18" t="s">
        <v>23</v>
      </c>
      <c r="D21" s="14">
        <v>12.5</v>
      </c>
      <c r="E21" s="19" t="str">
        <f t="shared" si="0"/>
        <v>High</v>
      </c>
      <c r="F21" s="18" t="str">
        <f>IF(Table1[[#This Row],[Priority]]="High","Yes","No")</f>
        <v>Yes</v>
      </c>
    </row>
    <row r="22" spans="2:6" ht="16.5" x14ac:dyDescent="0.3">
      <c r="B22" s="11"/>
      <c r="C22" s="11" t="s">
        <v>24</v>
      </c>
      <c r="D22" s="6">
        <v>9</v>
      </c>
      <c r="E22" s="9" t="str">
        <f t="shared" si="0"/>
        <v>Medium</v>
      </c>
      <c r="F22" s="11" t="str">
        <f>IF(Table1[[#This Row],[Priority]]="High","Yes","No")</f>
        <v>No</v>
      </c>
    </row>
    <row r="23" spans="2:6" ht="16.5" x14ac:dyDescent="0.3">
      <c r="B23" s="20" t="s">
        <v>43</v>
      </c>
      <c r="C23" s="16" t="s">
        <v>25</v>
      </c>
      <c r="D23" s="14">
        <v>12</v>
      </c>
      <c r="E23" s="15" t="str">
        <f t="shared" si="0"/>
        <v>High</v>
      </c>
      <c r="F23" s="16" t="str">
        <f>IF(Table1[[#This Row],[Priority]]="High","Yes","No")</f>
        <v>Yes</v>
      </c>
    </row>
    <row r="24" spans="2:6" ht="16.5" x14ac:dyDescent="0.3">
      <c r="B24" s="11"/>
      <c r="C24" s="11" t="s">
        <v>26</v>
      </c>
      <c r="D24" s="6">
        <v>10</v>
      </c>
      <c r="E24" s="9" t="str">
        <f t="shared" si="0"/>
        <v>Medium</v>
      </c>
      <c r="F24" s="11" t="str">
        <f>IF(Table1[[#This Row],[Priority]]="High","Yes","No")</f>
        <v>No</v>
      </c>
    </row>
    <row r="25" spans="2:6" ht="16.5" x14ac:dyDescent="0.3">
      <c r="B25" s="18"/>
      <c r="C25" s="18" t="s">
        <v>27</v>
      </c>
      <c r="D25" s="14">
        <v>8.5</v>
      </c>
      <c r="E25" s="19" t="str">
        <f t="shared" si="0"/>
        <v>Medium</v>
      </c>
      <c r="F25" s="18" t="str">
        <f>IF(Table1[[#This Row],[Priority]]="High","Yes","No")</f>
        <v>No</v>
      </c>
    </row>
    <row r="26" spans="2:6" ht="16.5" x14ac:dyDescent="0.3">
      <c r="B26" s="5"/>
      <c r="C26" s="5" t="s">
        <v>28</v>
      </c>
      <c r="D26" s="6">
        <v>10.5</v>
      </c>
      <c r="E26" s="7" t="str">
        <f t="shared" si="0"/>
        <v>Medium</v>
      </c>
      <c r="F26" s="5" t="str">
        <f>IF(Table1[[#This Row],[Priority]]="High","Yes","No")</f>
        <v>No</v>
      </c>
    </row>
    <row r="27" spans="2:6" ht="16.5" x14ac:dyDescent="0.3">
      <c r="B27" s="20" t="s">
        <v>45</v>
      </c>
      <c r="C27" s="16" t="s">
        <v>16</v>
      </c>
      <c r="D27" s="14">
        <v>11.5</v>
      </c>
      <c r="E27" s="15" t="str">
        <f t="shared" si="0"/>
        <v>Medium</v>
      </c>
      <c r="F27" s="16" t="str">
        <f>IF(Table1[[#This Row],[Priority]]="High","Yes","No")</f>
        <v>No</v>
      </c>
    </row>
    <row r="28" spans="2:6" ht="16.5" x14ac:dyDescent="0.3">
      <c r="B28" s="5"/>
      <c r="C28" s="5" t="s">
        <v>17</v>
      </c>
      <c r="D28" s="6">
        <v>10</v>
      </c>
      <c r="E28" s="7" t="str">
        <f t="shared" si="0"/>
        <v>Medium</v>
      </c>
      <c r="F28" s="5" t="str">
        <f>IF(Table1[[#This Row],[Priority]]="High","Yes","No")</f>
        <v>No</v>
      </c>
    </row>
    <row r="29" spans="2:6" ht="16.5" x14ac:dyDescent="0.3">
      <c r="B29" s="18"/>
      <c r="C29" s="18" t="s">
        <v>29</v>
      </c>
      <c r="D29" s="14">
        <v>11.5</v>
      </c>
      <c r="E29" s="19" t="str">
        <f t="shared" si="0"/>
        <v>Medium</v>
      </c>
      <c r="F29" s="18" t="str">
        <f>IF(Table1[[#This Row],[Priority]]="High","Yes","No")</f>
        <v>No</v>
      </c>
    </row>
    <row r="30" spans="2:6" ht="16.5" x14ac:dyDescent="0.3">
      <c r="B30" s="11"/>
      <c r="C30" s="11" t="s">
        <v>30</v>
      </c>
      <c r="D30" s="6">
        <v>11.5</v>
      </c>
      <c r="E30" s="9" t="str">
        <f t="shared" si="0"/>
        <v>Medium</v>
      </c>
      <c r="F30" s="11" t="str">
        <f>IF(Table1[[#This Row],[Priority]]="High","Yes","No")</f>
        <v>No</v>
      </c>
    </row>
    <row r="31" spans="2:6" ht="16.5" x14ac:dyDescent="0.3">
      <c r="B31" s="5"/>
      <c r="C31" s="5" t="s">
        <v>31</v>
      </c>
      <c r="D31" s="6">
        <v>10.5</v>
      </c>
      <c r="E31" s="7" t="str">
        <f t="shared" si="0"/>
        <v>Medium</v>
      </c>
      <c r="F31" s="5" t="str">
        <f>IF(Table1[[#This Row],[Priority]]="High","Yes","No")</f>
        <v>No</v>
      </c>
    </row>
    <row r="32" spans="2:6" ht="16.5" x14ac:dyDescent="0.3">
      <c r="B32" s="21" t="s">
        <v>47</v>
      </c>
      <c r="C32" s="22" t="s">
        <v>46</v>
      </c>
      <c r="D32" s="23">
        <v>12</v>
      </c>
      <c r="E32" s="24" t="str">
        <f>IF(D32&gt;=12,"High",IF(D32&gt;=8,"Medium","Low"))</f>
        <v>High</v>
      </c>
      <c r="F32" s="25" t="str">
        <f>IF(Table1[[#This Row],[Priority]]="High","Yes","No")</f>
        <v>Yes</v>
      </c>
    </row>
    <row r="33" spans="2:6" ht="16.5" x14ac:dyDescent="0.3">
      <c r="B33" s="11"/>
      <c r="C33" s="11" t="s">
        <v>32</v>
      </c>
      <c r="D33" s="6">
        <v>9</v>
      </c>
      <c r="E33" s="9" t="str">
        <f t="shared" si="0"/>
        <v>Medium</v>
      </c>
      <c r="F33" s="11" t="str">
        <f>IF(Table1[[#This Row],[Priority]]="High","Yes","No")</f>
        <v>No</v>
      </c>
    </row>
    <row r="34" spans="2:6" ht="16.5" x14ac:dyDescent="0.3">
      <c r="B34" s="16"/>
      <c r="C34" s="16" t="s">
        <v>33</v>
      </c>
      <c r="D34" s="14">
        <v>5.5</v>
      </c>
      <c r="E34" s="15" t="str">
        <f t="shared" si="0"/>
        <v>Low</v>
      </c>
      <c r="F34" s="16" t="str">
        <f>IF(Table1[[#This Row],[Priority]]="High","Yes","No")</f>
        <v>No</v>
      </c>
    </row>
    <row r="35" spans="2:6" ht="16.5" x14ac:dyDescent="0.3">
      <c r="B35" s="5"/>
      <c r="C35" s="5" t="s">
        <v>34</v>
      </c>
      <c r="D35" s="6">
        <v>10.5</v>
      </c>
      <c r="E35" s="7" t="str">
        <f t="shared" si="0"/>
        <v>Medium</v>
      </c>
      <c r="F35" s="5" t="str">
        <f>IF(Table1[[#This Row],[Priority]]="High","Yes","No")</f>
        <v>No</v>
      </c>
    </row>
    <row r="36" spans="2:6" ht="16.5" x14ac:dyDescent="0.3">
      <c r="B36" s="20" t="s">
        <v>48</v>
      </c>
      <c r="C36" s="16" t="s">
        <v>35</v>
      </c>
      <c r="D36" s="14">
        <v>7.5</v>
      </c>
      <c r="E36" s="15" t="str">
        <f t="shared" si="0"/>
        <v>Low</v>
      </c>
      <c r="F36" s="16" t="str">
        <f>IF(Table1[[#This Row],[Priority]]="High","Yes","No")</f>
        <v>No</v>
      </c>
    </row>
    <row r="37" spans="2:6" ht="16.5" x14ac:dyDescent="0.3">
      <c r="B37" s="5"/>
      <c r="C37" s="5" t="s">
        <v>36</v>
      </c>
      <c r="D37" s="6">
        <v>8</v>
      </c>
      <c r="E37" s="7" t="str">
        <f t="shared" si="0"/>
        <v>Medium</v>
      </c>
      <c r="F37" s="5" t="str">
        <f>IF(Table1[[#This Row],[Priority]]="High","Yes","No")</f>
        <v>No</v>
      </c>
    </row>
    <row r="38" spans="2:6" ht="16.5" x14ac:dyDescent="0.3">
      <c r="B38" s="16"/>
      <c r="C38" s="16" t="s">
        <v>37</v>
      </c>
      <c r="D38" s="14">
        <v>5</v>
      </c>
      <c r="E38" s="15" t="str">
        <f t="shared" si="0"/>
        <v>Low</v>
      </c>
      <c r="F38" s="16" t="str">
        <f>IF(Table1[[#This Row],[Priority]]="High","Yes","No")</f>
        <v>No</v>
      </c>
    </row>
    <row r="39" spans="2:6" ht="16.5" x14ac:dyDescent="0.3">
      <c r="B39" s="11"/>
      <c r="C39" s="11" t="s">
        <v>38</v>
      </c>
      <c r="D39" s="6">
        <v>8</v>
      </c>
      <c r="E39" s="9" t="str">
        <f t="shared" si="0"/>
        <v>Medium</v>
      </c>
      <c r="F39" s="11" t="str">
        <f>IF(Table1[[#This Row],[Priority]]="High","Yes","No")</f>
        <v>No</v>
      </c>
    </row>
    <row r="40" spans="2:6" ht="16.5" x14ac:dyDescent="0.3">
      <c r="B40" s="20" t="s">
        <v>8</v>
      </c>
      <c r="C40" s="16" t="s">
        <v>39</v>
      </c>
      <c r="D40" s="14">
        <v>4.5</v>
      </c>
      <c r="E40" s="15" t="str">
        <f t="shared" ref="E40:E42" si="1">IF(D40&gt;=12,"High",IF(D40&gt;=8,"Medium","Low"))</f>
        <v>Low</v>
      </c>
      <c r="F40" s="16" t="str">
        <f>IF(Table1[[#This Row],[Priority]]="High","Yes","No")</f>
        <v>No</v>
      </c>
    </row>
    <row r="41" spans="2:6" ht="16.5" x14ac:dyDescent="0.3">
      <c r="B41" s="11"/>
      <c r="C41" s="11" t="s">
        <v>40</v>
      </c>
      <c r="D41" s="6">
        <v>-4</v>
      </c>
      <c r="E41" s="9" t="str">
        <f t="shared" si="1"/>
        <v>Low</v>
      </c>
      <c r="F41" s="11" t="str">
        <f>IF(Table1[[#This Row],[Priority]]="High","Yes","No")</f>
        <v>No</v>
      </c>
    </row>
    <row r="42" spans="2:6" ht="16.5" x14ac:dyDescent="0.3">
      <c r="B42" s="18"/>
      <c r="C42" s="18" t="s">
        <v>41</v>
      </c>
      <c r="D42" s="14">
        <v>-9</v>
      </c>
      <c r="E42" s="19" t="str">
        <f t="shared" si="1"/>
        <v>Low</v>
      </c>
      <c r="F42" s="18" t="str">
        <f>IF(Table1[[#This Row],[Priority]]="High","Yes","No")</f>
        <v>No</v>
      </c>
    </row>
  </sheetData>
  <pageMargins left="0.75" right="0.75" top="1" bottom="1" header="0.511811023622047" footer="0.511811023622047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Prioritization 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Hazel Kim</cp:lastModifiedBy>
  <cp:revision>0</cp:revision>
  <dcterms:created xsi:type="dcterms:W3CDTF">2026-03-04T11:44:56Z</dcterms:created>
  <dcterms:modified xsi:type="dcterms:W3CDTF">2026-03-13T15:17:59Z</dcterms:modified>
  <cp:category/>
  <cp:contentStatus/>
</cp:coreProperties>
</file>